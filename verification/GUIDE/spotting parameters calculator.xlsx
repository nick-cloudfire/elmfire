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fireinc2024-my.sharepoint.com/personal/nick_cloudfire_com/Documents/Desktop/"/>
    </mc:Choice>
  </mc:AlternateContent>
  <xr:revisionPtr revIDLastSave="4" documentId="8_{78789B5C-11CD-47D9-A093-F2E0464AF6AD}" xr6:coauthVersionLast="47" xr6:coauthVersionMax="47" xr10:uidLastSave="{2910AA7A-9539-417C-9BE4-41F3627E727A}"/>
  <bookViews>
    <workbookView xWindow="384" yWindow="384" windowWidth="17280" windowHeight="8880" xr2:uid="{59BDE1E6-69EE-496B-90CA-8ACFD1E20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 s="1"/>
  <c r="D6" i="1"/>
  <c r="B6" i="1" l="1"/>
  <c r="D3" i="1" s="1"/>
</calcChain>
</file>

<file path=xl/sharedStrings.xml><?xml version="1.0" encoding="utf-8"?>
<sst xmlns="http://schemas.openxmlformats.org/spreadsheetml/2006/main" count="14" uniqueCount="11">
  <si>
    <t>sigma dist</t>
  </si>
  <si>
    <t>mu_dist</t>
  </si>
  <si>
    <t>Actual spotting ditance</t>
  </si>
  <si>
    <t>MEAN_SPOTTING_DIST</t>
  </si>
  <si>
    <t>NORMALIZED_SPOTTING_DIST_VARIANCE</t>
  </si>
  <si>
    <t>Random variable (0-1)</t>
  </si>
  <si>
    <t>Fireline Intensity (kW/m)</t>
  </si>
  <si>
    <t>Wind Speed (20ft, mph)</t>
  </si>
  <si>
    <t>MSD</t>
  </si>
  <si>
    <t>erfinv (intermediate)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</si>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</sst>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EE05-06AA-43F8-9A49-8E851AC032E6}">
  <dimension ref="A1:E12"/>
  <sheetViews>
    <sheetView tabSelected="1" workbookViewId="0">
      <selection activeCell="C9" sqref="C9"/>
    </sheetView>
  </sheetViews>
  <sheetFormatPr defaultRowHeight="14.4" x14ac:dyDescent="0.3"/>
  <cols>
    <col min="1" max="1" width="35.109375" bestFit="1" customWidth="1"/>
  </cols>
  <sheetData>
    <row r="1" spans="1:5" x14ac:dyDescent="0.3">
      <c r="A1" t="s">
        <v>3</v>
      </c>
      <c r="B1">
        <v>3</v>
      </c>
    </row>
    <row r="2" spans="1:5" x14ac:dyDescent="0.3">
      <c r="A2" t="s">
        <v>4</v>
      </c>
      <c r="B2">
        <v>200</v>
      </c>
      <c r="D2" t="s">
        <v>2</v>
      </c>
    </row>
    <row r="3" spans="1:5" x14ac:dyDescent="0.3">
      <c r="D3">
        <f>EXP(1.4142*B7*D6+B6)</f>
        <v>364.39912828932626</v>
      </c>
      <c r="E3" t="s">
        <v>10</v>
      </c>
    </row>
    <row r="5" spans="1:5" x14ac:dyDescent="0.3">
      <c r="A5" t="s">
        <v>8</v>
      </c>
      <c r="B5">
        <f>B1*B9^0.3*B10^0.7</f>
        <v>256.00842038678888</v>
      </c>
      <c r="C5" t="s">
        <v>10</v>
      </c>
      <c r="D5" t="s">
        <v>9</v>
      </c>
    </row>
    <row r="6" spans="1:5" x14ac:dyDescent="0.3">
      <c r="A6" t="s">
        <v>1</v>
      </c>
      <c r="B6">
        <f>LN(B5^2/SQRT(B5*B2+B5*B5))</f>
        <v>5.2565598665595843</v>
      </c>
      <c r="C6" t="s">
        <v>10</v>
      </c>
      <c r="D6">
        <f>_xlfn.NORM.S.INV((2*B12-1+1)/2)/SQRT(2)</f>
        <v>0.90619380243682324</v>
      </c>
    </row>
    <row r="7" spans="1:5" x14ac:dyDescent="0.3">
      <c r="A7" t="s">
        <v>0</v>
      </c>
      <c r="B7">
        <f>SQRT(LOG(1+B5*B2/(B5*B5)))</f>
        <v>0.50071809655557753</v>
      </c>
      <c r="C7" t="s">
        <v>10</v>
      </c>
    </row>
    <row r="9" spans="1:5" x14ac:dyDescent="0.3">
      <c r="A9" t="s">
        <v>6</v>
      </c>
      <c r="B9">
        <v>500</v>
      </c>
    </row>
    <row r="10" spans="1:5" x14ac:dyDescent="0.3">
      <c r="A10" t="s">
        <v>7</v>
      </c>
      <c r="B10">
        <v>40</v>
      </c>
    </row>
    <row r="12" spans="1:5" x14ac:dyDescent="0.3">
      <c r="A12" t="s">
        <v>5</v>
      </c>
      <c r="B1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Kalogeropoulos</dc:creator>
  <cp:lastModifiedBy>Nick Kalogeropoulos</cp:lastModifiedBy>
  <dcterms:created xsi:type="dcterms:W3CDTF">2025-12-12T16:18:25Z</dcterms:created>
  <dcterms:modified xsi:type="dcterms:W3CDTF">2026-02-24T10:16:51Z</dcterms:modified>
</cp:coreProperties>
</file>